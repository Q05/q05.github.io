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toto\Downloads\"/>
    </mc:Choice>
  </mc:AlternateContent>
  <xr:revisionPtr revIDLastSave="0" documentId="13_ncr:1_{D9FA758F-DAA3-49CB-837E-D7EC9AFF16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C13" i="1"/>
  <c r="D13" i="1"/>
  <c r="L13" i="1" s="1"/>
  <c r="K12" i="1"/>
  <c r="L12" i="1" s="1"/>
  <c r="C12" i="1"/>
  <c r="D12" i="1"/>
  <c r="C11" i="1"/>
  <c r="D11" i="1"/>
  <c r="K10" i="1"/>
  <c r="C10" i="1"/>
  <c r="D10" i="1"/>
  <c r="L10" i="1" s="1"/>
  <c r="K9" i="1"/>
  <c r="D9" i="1"/>
  <c r="C9" i="1"/>
  <c r="K8" i="1"/>
  <c r="D8" i="1"/>
  <c r="C8" i="1"/>
  <c r="K7" i="1"/>
  <c r="D7" i="1"/>
  <c r="L7" i="1" s="1"/>
  <c r="C7" i="1"/>
  <c r="K6" i="1"/>
  <c r="C6" i="1"/>
  <c r="D6" i="1"/>
  <c r="L9" i="1" l="1"/>
  <c r="L8" i="1"/>
  <c r="L6" i="1"/>
</calcChain>
</file>

<file path=xl/sharedStrings.xml><?xml version="1.0" encoding="utf-8"?>
<sst xmlns="http://schemas.openxmlformats.org/spreadsheetml/2006/main" count="44" uniqueCount="38">
  <si>
    <t>"MB * (CO2)/x * M/y * C"</t>
  </si>
  <si>
    <t>KW</t>
  </si>
  <si>
    <t>MB</t>
  </si>
  <si>
    <t>CO2</t>
  </si>
  <si>
    <t>x</t>
  </si>
  <si>
    <t>M</t>
  </si>
  <si>
    <t>y</t>
  </si>
  <si>
    <t>C</t>
  </si>
  <si>
    <t>age</t>
  </si>
  <si>
    <t>calcul selon l'âge</t>
  </si>
  <si>
    <t>TMC</t>
  </si>
  <si>
    <t>age 10%/an jusque 5 ans puis 5%</t>
  </si>
  <si>
    <t>montant de base en fonction des KW</t>
  </si>
  <si>
    <t>mma</t>
  </si>
  <si>
    <t>essence, diesel: 1</t>
  </si>
  <si>
    <t>hybride:0,8</t>
  </si>
  <si>
    <t xml:space="preserve">Renault Espace IV 2014 </t>
  </si>
  <si>
    <t>mot de passe protection formules: tmc (-&gt;révision-&gt;ôter la protection)</t>
  </si>
  <si>
    <t>Montant de la taxe de mise en circulation et éco-malus avant 1/7/2025</t>
  </si>
  <si>
    <t>Montants de la taxe de circulation</t>
  </si>
  <si>
    <t>1 Juillet 2025 : Réforme de la fiscalité automobile</t>
  </si>
  <si>
    <t>chevaux</t>
  </si>
  <si>
    <t>Renault Espace IV 2011 auto</t>
  </si>
  <si>
    <t>Renault Espace IV 2007 auto</t>
  </si>
  <si>
    <t>Ford Ranger Quentin</t>
  </si>
  <si>
    <t>P2</t>
  </si>
  <si>
    <t>P1</t>
  </si>
  <si>
    <t>cyl</t>
  </si>
  <si>
    <t>V7</t>
  </si>
  <si>
    <t>F1 ou F2</t>
  </si>
  <si>
    <t>P3</t>
  </si>
  <si>
    <t>carburant</t>
  </si>
  <si>
    <t>diesel</t>
  </si>
  <si>
    <t>136 WLTP, 115 NDEC</t>
  </si>
  <si>
    <t>Renault Master</t>
  </si>
  <si>
    <t>mercedes vito 116 cdi 4x4</t>
  </si>
  <si>
    <t>Renautl Espace Grivegnée</t>
  </si>
  <si>
    <t xml:space="preserve">Renault Grand Espace grise 2012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</si>
</sst>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1" fillId="0" borderId="0" xfId="1" applyProtection="1">
      <protection locked="0"/>
    </xf>
    <xf numFmtId="0" fontId="2" fillId="0" borderId="0" xfId="0" applyFont="1" applyAlignment="1">
      <alignment wrapText="1"/>
    </xf>
    <xf numFmtId="164" fontId="2" fillId="0" borderId="0" xfId="0" applyNumberFormat="1" applyFont="1"/>
    <xf numFmtId="1" fontId="3" fillId="0" borderId="0" xfId="0" applyNumberFormat="1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s.wallonie.be/home/actualites/actualites/1-juillet-2025--reforme-de-la-fiscalite-automobile.html" TargetMode="External"/><Relationship Id="rId2" Type="http://schemas.openxmlformats.org/officeDocument/2006/relationships/hyperlink" Target="https://finances.wallonie.be/files/bar%C3%A8mes%20taxes%20v%C3%A9hicules/baremes_taxe_de_circulation.pdf" TargetMode="External"/><Relationship Id="rId1" Type="http://schemas.openxmlformats.org/officeDocument/2006/relationships/hyperlink" Target="https://finances.wallonie.be/home/fiscalite/fiscalite-des-vehicules/tableaux-des-baremes/montant-de-la-taxe-de-mise-en-circulation-et-eco-malus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J10" sqref="J10"/>
    </sheetView>
  </sheetViews>
  <sheetFormatPr baseColWidth="10" defaultColWidth="8.88671875" defaultRowHeight="14.4" x14ac:dyDescent="0.3"/>
  <cols>
    <col min="1" max="1" width="29.109375" style="1" bestFit="1" customWidth="1"/>
    <col min="2" max="3" width="8.88671875" style="1"/>
    <col min="4" max="4" width="16.33203125" style="1" customWidth="1"/>
    <col min="5" max="5" width="8.88671875" style="1"/>
    <col min="6" max="6" width="19.109375" style="1" bestFit="1" customWidth="1"/>
    <col min="7" max="8" width="8.88671875" style="1"/>
    <col min="9" max="9" width="16.109375" style="1" bestFit="1" customWidth="1"/>
    <col min="10" max="11" width="11" style="1" customWidth="1"/>
    <col min="12" max="12" width="13.33203125" style="1" customWidth="1"/>
    <col min="13" max="16384" width="8.88671875" style="1"/>
  </cols>
  <sheetData>
    <row r="1" spans="1:14" ht="28.8" x14ac:dyDescent="0.3">
      <c r="A1" s="1" t="s">
        <v>0</v>
      </c>
      <c r="B1" s="1" t="s">
        <v>1</v>
      </c>
      <c r="C1" s="1" t="s">
        <v>21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27</v>
      </c>
      <c r="N1" s="1" t="s">
        <v>31</v>
      </c>
    </row>
    <row r="2" spans="1:14" x14ac:dyDescent="0.3">
      <c r="B2" s="1" t="s">
        <v>25</v>
      </c>
      <c r="E2" s="1" t="s">
        <v>28</v>
      </c>
      <c r="G2" s="1" t="s">
        <v>29</v>
      </c>
      <c r="K2" s="2"/>
      <c r="M2" s="1" t="s">
        <v>26</v>
      </c>
      <c r="N2" s="1" t="s">
        <v>30</v>
      </c>
    </row>
    <row r="3" spans="1:14" ht="28.8" x14ac:dyDescent="0.3">
      <c r="A3" s="1" t="s">
        <v>11</v>
      </c>
      <c r="D3" s="2" t="s">
        <v>12</v>
      </c>
      <c r="F3" s="1" t="s">
        <v>33</v>
      </c>
      <c r="G3" s="1" t="s">
        <v>13</v>
      </c>
      <c r="I3" s="1" t="s">
        <v>14</v>
      </c>
    </row>
    <row r="4" spans="1:14" x14ac:dyDescent="0.3">
      <c r="I4" s="1" t="s">
        <v>15</v>
      </c>
    </row>
    <row r="6" spans="1:14" ht="24" customHeight="1" x14ac:dyDescent="0.3">
      <c r="A6" s="1" t="s">
        <v>16</v>
      </c>
      <c r="B6" s="1">
        <v>110</v>
      </c>
      <c r="C6" s="6">
        <f t="shared" ref="C6:C13" si="0">B6*1.3636</f>
        <v>149.99599999999998</v>
      </c>
      <c r="D6" s="4">
        <f t="shared" ref="D6:D13" si="1">IF(B6&lt;=70,61.5,IF(B6&lt;=85,123,IF(B6&lt;=100,495,IF(B6&lt;=110,867,IF(B6&lt;=120,1239,IF(B6&lt;=155,2478,4957))))))</f>
        <v>867</v>
      </c>
      <c r="E6" s="1">
        <v>169</v>
      </c>
      <c r="F6" s="1">
        <v>136</v>
      </c>
      <c r="G6" s="1">
        <v>2640</v>
      </c>
      <c r="H6" s="1">
        <v>1838</v>
      </c>
      <c r="I6" s="1">
        <v>1</v>
      </c>
      <c r="J6" s="2">
        <v>11</v>
      </c>
      <c r="K6" s="4">
        <f>1 - (0.1*MIN(J6,4) + 0.05*MAX(MIN(J6-4,10),0))</f>
        <v>0.25</v>
      </c>
      <c r="L6" s="5">
        <f>D6*E6/F6*G6/H6*I6*K6</f>
        <v>386.87023939064198</v>
      </c>
      <c r="N6" s="1" t="s">
        <v>32</v>
      </c>
    </row>
    <row r="7" spans="1:14" x14ac:dyDescent="0.3">
      <c r="A7" s="1" t="s">
        <v>22</v>
      </c>
      <c r="B7" s="1">
        <v>110</v>
      </c>
      <c r="C7" s="6">
        <f t="shared" si="0"/>
        <v>149.99599999999998</v>
      </c>
      <c r="D7" s="4">
        <f t="shared" si="1"/>
        <v>867</v>
      </c>
      <c r="E7" s="1">
        <v>169</v>
      </c>
      <c r="F7" s="1">
        <v>136</v>
      </c>
      <c r="G7" s="1">
        <v>2640</v>
      </c>
      <c r="H7" s="1">
        <v>1838</v>
      </c>
      <c r="I7" s="1">
        <v>1</v>
      </c>
      <c r="J7" s="1">
        <v>14</v>
      </c>
      <c r="K7" s="4">
        <f>1 - (0.1*MIN(J7,4) + 0.05*MAX(MIN(J7-4,10),0))</f>
        <v>9.9999999999999978E-2</v>
      </c>
      <c r="L7" s="5">
        <f>D7*E7/F7*G7/H7*I7*K7</f>
        <v>154.74809575625676</v>
      </c>
      <c r="N7" s="1" t="s">
        <v>32</v>
      </c>
    </row>
    <row r="8" spans="1:14" x14ac:dyDescent="0.3">
      <c r="A8" s="1" t="s">
        <v>23</v>
      </c>
      <c r="B8" s="1">
        <v>110</v>
      </c>
      <c r="C8" s="6">
        <f t="shared" si="0"/>
        <v>149.99599999999998</v>
      </c>
      <c r="D8" s="4">
        <f t="shared" si="1"/>
        <v>867</v>
      </c>
      <c r="E8" s="1">
        <v>190</v>
      </c>
      <c r="F8" s="1">
        <v>136</v>
      </c>
      <c r="G8" s="1">
        <v>2640</v>
      </c>
      <c r="H8" s="1">
        <v>1838</v>
      </c>
      <c r="I8" s="1">
        <v>1</v>
      </c>
      <c r="J8" s="1">
        <v>18</v>
      </c>
      <c r="K8" s="4">
        <f>1 - (0.1*MIN(J8,4) + 0.05*MAX(MIN(J8-4,10),0))</f>
        <v>9.9999999999999978E-2</v>
      </c>
      <c r="L8" s="5">
        <f>D8*E8/F8*G8/H8*I8*K8</f>
        <v>173.97714907508157</v>
      </c>
      <c r="N8" s="1" t="s">
        <v>32</v>
      </c>
    </row>
    <row r="9" spans="1:14" x14ac:dyDescent="0.3">
      <c r="A9" s="1" t="s">
        <v>24</v>
      </c>
      <c r="B9" s="1">
        <v>156.69999999999999</v>
      </c>
      <c r="C9" s="6">
        <f t="shared" si="0"/>
        <v>213.67611999999997</v>
      </c>
      <c r="D9" s="4">
        <f t="shared" si="1"/>
        <v>4957</v>
      </c>
      <c r="E9" s="1">
        <v>228</v>
      </c>
      <c r="F9" s="1">
        <v>136</v>
      </c>
      <c r="G9" s="1">
        <v>3270</v>
      </c>
      <c r="H9" s="1">
        <v>1838</v>
      </c>
      <c r="I9" s="1">
        <v>1</v>
      </c>
      <c r="J9" s="1">
        <v>5</v>
      </c>
      <c r="K9" s="4">
        <f>1 - (0.1*MIN(J9,4) + 0.05*MAX(MIN(J9-4,10),0))</f>
        <v>0.55000000000000004</v>
      </c>
      <c r="L9" s="5">
        <f>D9*E9/F9*G9/H9*I9*K9</f>
        <v>8131.6708778723687</v>
      </c>
      <c r="M9" s="1">
        <v>1996</v>
      </c>
      <c r="N9" s="1" t="s">
        <v>32</v>
      </c>
    </row>
    <row r="10" spans="1:14" x14ac:dyDescent="0.3">
      <c r="A10" s="1" t="s">
        <v>34</v>
      </c>
      <c r="B10" s="1">
        <v>88</v>
      </c>
      <c r="C10" s="1">
        <f t="shared" si="0"/>
        <v>119.99679999999999</v>
      </c>
      <c r="D10" s="1">
        <f t="shared" si="1"/>
        <v>495</v>
      </c>
      <c r="E10" s="1">
        <v>243</v>
      </c>
      <c r="F10" s="1">
        <v>136</v>
      </c>
      <c r="G10" s="1">
        <v>3500</v>
      </c>
      <c r="H10" s="1">
        <v>1838</v>
      </c>
      <c r="I10" s="1">
        <v>1</v>
      </c>
      <c r="J10" s="1">
        <v>16</v>
      </c>
      <c r="K10" s="1">
        <f>1 - (0.1*MIN(J10,4) + 0.05*MAX(MIN(J10-4,10),0))</f>
        <v>9.9999999999999978E-2</v>
      </c>
      <c r="L10" s="5">
        <f>D10*E10/F10*G10/H10*I10*K10</f>
        <v>168.42055783140242</v>
      </c>
      <c r="M10" s="1">
        <v>2464</v>
      </c>
      <c r="N10" s="1" t="s">
        <v>32</v>
      </c>
    </row>
    <row r="11" spans="1:14" x14ac:dyDescent="0.3">
      <c r="A11" s="1" t="s">
        <v>35</v>
      </c>
      <c r="B11" s="1">
        <v>120</v>
      </c>
      <c r="C11" s="1">
        <f t="shared" si="0"/>
        <v>163.63200000000001</v>
      </c>
      <c r="D11" s="1">
        <f t="shared" si="1"/>
        <v>1239</v>
      </c>
      <c r="L11" s="5"/>
    </row>
    <row r="12" spans="1:14" x14ac:dyDescent="0.3">
      <c r="A12" s="1" t="s">
        <v>36</v>
      </c>
      <c r="B12" s="1">
        <v>96</v>
      </c>
      <c r="C12" s="1">
        <f t="shared" si="0"/>
        <v>130.90559999999999</v>
      </c>
      <c r="D12" s="1">
        <f t="shared" si="1"/>
        <v>495</v>
      </c>
      <c r="E12" s="1">
        <v>145</v>
      </c>
      <c r="F12" s="1">
        <v>115</v>
      </c>
      <c r="G12" s="1">
        <v>2605</v>
      </c>
      <c r="H12" s="1">
        <v>1838</v>
      </c>
      <c r="I12" s="1">
        <v>1</v>
      </c>
      <c r="J12" s="1">
        <v>11</v>
      </c>
      <c r="K12" s="4">
        <f>1 - (0.1*MIN(J12,4) + 0.05*MAX(MIN(J12-4,10),0))</f>
        <v>0.25</v>
      </c>
      <c r="L12" s="5">
        <f>D12*E12/F12*G12/H12*I12*K12</f>
        <v>221.14523702512184</v>
      </c>
      <c r="M12" s="1">
        <v>1996</v>
      </c>
      <c r="N12" s="1" t="s">
        <v>32</v>
      </c>
    </row>
    <row r="13" spans="1:14" x14ac:dyDescent="0.3">
      <c r="A13" s="1" t="s">
        <v>37</v>
      </c>
      <c r="B13" s="1">
        <v>110</v>
      </c>
      <c r="C13" s="1">
        <f t="shared" si="0"/>
        <v>149.99599999999998</v>
      </c>
      <c r="D13" s="1">
        <f t="shared" si="1"/>
        <v>867</v>
      </c>
      <c r="E13" s="1">
        <v>170</v>
      </c>
      <c r="F13" s="1">
        <v>115</v>
      </c>
      <c r="G13" s="1">
        <v>2640</v>
      </c>
      <c r="H13" s="1">
        <v>1838</v>
      </c>
      <c r="I13" s="1">
        <v>1</v>
      </c>
      <c r="J13" s="1">
        <v>13</v>
      </c>
      <c r="K13" s="4">
        <f>1 - (0.1*MIN(J13,4) + 0.05*MAX(MIN(J13-4,10),0))</f>
        <v>0.14999999999999991</v>
      </c>
      <c r="L13" s="5">
        <f>D13*E13/F13*G13/H13*I13*K13</f>
        <v>276.13398306287542</v>
      </c>
      <c r="M13" s="1">
        <v>1996</v>
      </c>
      <c r="N13" s="1" t="s">
        <v>32</v>
      </c>
    </row>
    <row r="14" spans="1:14" x14ac:dyDescent="0.3">
      <c r="A14" s="1" t="s">
        <v>17</v>
      </c>
    </row>
    <row r="15" spans="1:14" x14ac:dyDescent="0.3">
      <c r="J15" s="2"/>
      <c r="K15" s="2"/>
    </row>
    <row r="16" spans="1:14" x14ac:dyDescent="0.3">
      <c r="A16" s="3" t="s">
        <v>18</v>
      </c>
    </row>
    <row r="17" spans="1:11" x14ac:dyDescent="0.3">
      <c r="J17" s="2"/>
      <c r="K17" s="2"/>
    </row>
    <row r="18" spans="1:11" x14ac:dyDescent="0.3">
      <c r="A18" s="3" t="s">
        <v>19</v>
      </c>
    </row>
    <row r="20" spans="1:11" x14ac:dyDescent="0.3">
      <c r="A20" s="3" t="s">
        <v>20</v>
      </c>
    </row>
  </sheetData>
  <hyperlinks>
    <hyperlink ref="A16" r:id="rId1" xr:uid="{241ADBAF-89D2-4E64-B084-C124F454EDE7}"/>
    <hyperlink ref="A18" r:id="rId2" xr:uid="{DA3DCA8C-52E7-4FA7-B130-30E7FC9CD93E}"/>
    <hyperlink ref="A20" r:id="rId3" xr:uid="{EF14A463-6810-4A4A-AD2A-4E9401066CBB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Alain Honorez</cp:lastModifiedBy>
  <cp:revision/>
  <dcterms:created xsi:type="dcterms:W3CDTF">2025-03-06T09:26:04Z</dcterms:created>
  <dcterms:modified xsi:type="dcterms:W3CDTF">2025-10-27T11:15:03Z</dcterms:modified>
  <cp:category/>
  <cp:contentStatus/>
</cp:coreProperties>
</file>